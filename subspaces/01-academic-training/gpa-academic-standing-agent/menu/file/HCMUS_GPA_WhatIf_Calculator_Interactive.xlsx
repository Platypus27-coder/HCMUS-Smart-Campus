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ính GPA Học Kỳ (SGPA)" sheetId="1" state="visible" r:id="rId1"/>
    <sheet xmlns:r="http://schemas.openxmlformats.org/officeDocument/2006/relationships" name="Mô phỏng What-if Nâng G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555555"/>
      <sz val="9.5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3366"/>
      <sz val="11"/>
    </font>
    <font>
      <name val="Arial"/>
      <b val="1"/>
      <color rgb="00003366"/>
      <sz val="12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4F8FA"/>
      </patternFill>
    </fill>
    <fill>
      <patternFill patternType="solid">
        <fgColor rgb="00FFF3CD"/>
      </patternFill>
    </fill>
    <fill>
      <patternFill patternType="solid">
        <fgColor rgb="00E2F0D9"/>
      </patternFill>
    </fill>
    <fill>
      <patternFill patternType="solid">
        <fgColor rgb="001B5E94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0" pivotButton="0" quotePrefix="0" xfId="0"/>
    <xf numFmtId="0" fontId="3" fillId="7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0" customWidth="1" min="4" max="4"/>
    <col width="14" customWidth="1" min="5" max="5"/>
    <col width="22" customWidth="1" min="6" max="6"/>
    <col width="16" customWidth="1" min="7" max="7"/>
    <col width="20" customWidth="1" min="8" max="8"/>
  </cols>
  <sheetData>
    <row r="1" ht="32" customHeight="1">
      <c r="A1" s="1" t="inlineStr">
        <is>
          <t>BẢNG TÍNH ĐIỂM TRUNG BÌNH HỌC KỲ TỰ ĐỘNG – TRƯỜNG ĐH KHTN</t>
        </is>
      </c>
    </row>
    <row r="2" ht="20" customHeight="1">
      <c r="A2" s="2" t="inlineStr">
        <is>
          <t>Hướng dẫn: Nhập Tên môn, Số TC và Điểm thang 10. Các cột Điểm chữ, Điểm hệ 4 và Kết quả GPA sẽ tự động tính theo công thức Excel.</t>
        </is>
      </c>
    </row>
    <row r="4" ht="26" customHeight="1">
      <c r="A4" s="3" t="inlineStr">
        <is>
          <t>STT</t>
        </is>
      </c>
      <c r="B4" s="3" t="inlineStr">
        <is>
          <t>Tên Học Phần / Môn Học</t>
        </is>
      </c>
      <c r="C4" s="3" t="inlineStr">
        <is>
          <t>Số TC (ni)</t>
        </is>
      </c>
      <c r="D4" s="3" t="inlineStr">
        <is>
          <t>Điểm Thang 10 (ai)</t>
        </is>
      </c>
      <c r="E4" s="3" t="inlineStr">
        <is>
          <t>Tính GPA?</t>
        </is>
      </c>
      <c r="F4" s="3" t="inlineStr">
        <is>
          <t>Điểm Chữ (Letter)</t>
        </is>
      </c>
      <c r="G4" s="3" t="inlineStr">
        <is>
          <t>Điểm Hệ 4.0</t>
        </is>
      </c>
      <c r="H4" s="3" t="inlineStr">
        <is>
          <t>Tích số (Điểm × TC)</t>
        </is>
      </c>
    </row>
    <row r="5" ht="22" customHeight="1">
      <c r="A5" s="4" t="n">
        <v>1</v>
      </c>
      <c r="B5" s="5" t="inlineStr">
        <is>
          <t>Giải tích 1</t>
        </is>
      </c>
      <c r="C5" s="4" t="n">
        <v>4</v>
      </c>
      <c r="D5" s="4" t="n">
        <v>8.5</v>
      </c>
      <c r="E5" s="4" t="inlineStr">
        <is>
          <t>CÓ</t>
        </is>
      </c>
      <c r="F5" s="4">
        <f>IF(D5&gt;=9,"A+",IF(D5&gt;=8.5,"A",IF(D5&gt;=8,"B+",IF(D5&gt;=7,"B",IF(D5&gt;=6.5,"C+",IF(D5&gt;=5.5,"C",IF(D5&gt;=5,"D+",IF(D5&gt;=4,"D","F"))))))))</f>
        <v/>
      </c>
      <c r="G5" s="4">
        <f>IF(D5&gt;=9,4.0,IF(D5&gt;=8.5,3.5,IF(D5&gt;=8,3.0,IF(D5&gt;=7,2.5,IF(D5&gt;=6.5,2.0,IF(D5&gt;=5.5,1.5,IF(D5&gt;=5,1.0,IF(D5&gt;=4,0.5,0.0))))))))</f>
        <v/>
      </c>
      <c r="H5" s="4">
        <f>IF(E5="CÓ", C5*D5, 0)</f>
        <v/>
      </c>
    </row>
    <row r="6" ht="22" customHeight="1">
      <c r="A6" s="4" t="n">
        <v>2</v>
      </c>
      <c r="B6" s="5" t="inlineStr">
        <is>
          <t>Đại số tuyến tính</t>
        </is>
      </c>
      <c r="C6" s="4" t="n">
        <v>4</v>
      </c>
      <c r="D6" s="4" t="n">
        <v>7</v>
      </c>
      <c r="E6" s="4" t="inlineStr">
        <is>
          <t>CÓ</t>
        </is>
      </c>
      <c r="F6" s="4">
        <f>IF(D6&gt;=9,"A+",IF(D6&gt;=8.5,"A",IF(D6&gt;=8,"B+",IF(D6&gt;=7,"B",IF(D6&gt;=6.5,"C+",IF(D6&gt;=5.5,"C",IF(D6&gt;=5,"D+",IF(D6&gt;=4,"D","F"))))))))</f>
        <v/>
      </c>
      <c r="G6" s="4">
        <f>IF(D6&gt;=9,4.0,IF(D6&gt;=8.5,3.5,IF(D6&gt;=8,3.0,IF(D6&gt;=7,2.5,IF(D6&gt;=6.5,2.0,IF(D6&gt;=5.5,1.5,IF(D6&gt;=5,1.0,IF(D6&gt;=4,0.5,0.0))))))))</f>
        <v/>
      </c>
      <c r="H6" s="4">
        <f>IF(E6="CÓ", C6*D6, 0)</f>
        <v/>
      </c>
    </row>
    <row r="7" ht="22" customHeight="1">
      <c r="A7" s="4" t="n">
        <v>3</v>
      </c>
      <c r="B7" s="5" t="inlineStr">
        <is>
          <t>Nhập môn lập trình</t>
        </is>
      </c>
      <c r="C7" s="4" t="n">
        <v>4</v>
      </c>
      <c r="D7" s="4" t="n">
        <v>9</v>
      </c>
      <c r="E7" s="4" t="inlineStr">
        <is>
          <t>CÓ</t>
        </is>
      </c>
      <c r="F7" s="4">
        <f>IF(D7&gt;=9,"A+",IF(D7&gt;=8.5,"A",IF(D7&gt;=8,"B+",IF(D7&gt;=7,"B",IF(D7&gt;=6.5,"C+",IF(D7&gt;=5.5,"C",IF(D7&gt;=5,"D+",IF(D7&gt;=4,"D","F"))))))))</f>
        <v/>
      </c>
      <c r="G7" s="4">
        <f>IF(D7&gt;=9,4.0,IF(D7&gt;=8.5,3.5,IF(D7&gt;=8,3.0,IF(D7&gt;=7,2.5,IF(D7&gt;=6.5,2.0,IF(D7&gt;=5.5,1.5,IF(D7&gt;=5,1.0,IF(D7&gt;=4,0.5,0.0))))))))</f>
        <v/>
      </c>
      <c r="H7" s="4">
        <f>IF(E7="CÓ", C7*D7, 0)</f>
        <v/>
      </c>
    </row>
    <row r="8" ht="22" customHeight="1">
      <c r="A8" s="4" t="n">
        <v>4</v>
      </c>
      <c r="B8" s="5" t="inlineStr">
        <is>
          <t>Triết học Mác - Lênin</t>
        </is>
      </c>
      <c r="C8" s="4" t="n">
        <v>3</v>
      </c>
      <c r="D8" s="4" t="n">
        <v>8</v>
      </c>
      <c r="E8" s="4" t="inlineStr">
        <is>
          <t>CÓ</t>
        </is>
      </c>
      <c r="F8" s="4">
        <f>IF(D8&gt;=9,"A+",IF(D8&gt;=8.5,"A",IF(D8&gt;=8,"B+",IF(D8&gt;=7,"B",IF(D8&gt;=6.5,"C+",IF(D8&gt;=5.5,"C",IF(D8&gt;=5,"D+",IF(D8&gt;=4,"D","F"))))))))</f>
        <v/>
      </c>
      <c r="G8" s="4">
        <f>IF(D8&gt;=9,4.0,IF(D8&gt;=8.5,3.5,IF(D8&gt;=8,3.0,IF(D8&gt;=7,2.5,IF(D8&gt;=6.5,2.0,IF(D8&gt;=5.5,1.5,IF(D8&gt;=5,1.0,IF(D8&gt;=4,0.5,0.0))))))))</f>
        <v/>
      </c>
      <c r="H8" s="4">
        <f>IF(E8="CÓ", C8*D8, 0)</f>
        <v/>
      </c>
    </row>
    <row r="9" ht="22" customHeight="1">
      <c r="A9" s="6" t="n">
        <v>5</v>
      </c>
      <c r="B9" s="7" t="inlineStr">
        <is>
          <t>Anh văn 1 (Ngoại ngữ tổng quát)</t>
        </is>
      </c>
      <c r="C9" s="6" t="n">
        <v>3</v>
      </c>
      <c r="D9" s="6" t="n">
        <v>8.5</v>
      </c>
      <c r="E9" s="6" t="inlineStr">
        <is>
          <t>KHÔNG</t>
        </is>
      </c>
      <c r="F9" s="6">
        <f>IF(D9&gt;=9,"A+",IF(D9&gt;=8.5,"A",IF(D9&gt;=8,"B+",IF(D9&gt;=7,"B",IF(D9&gt;=6.5,"C+",IF(D9&gt;=5.5,"C",IF(D9&gt;=5,"D+",IF(D9&gt;=4,"D","F"))))))))</f>
        <v/>
      </c>
      <c r="G9" s="6">
        <f>IF(D9&gt;=9,4.0,IF(D9&gt;=8.5,3.5,IF(D9&gt;=8,3.0,IF(D9&gt;=7,2.5,IF(D9&gt;=6.5,2.0,IF(D9&gt;=5.5,1.5,IF(D9&gt;=5,1.0,IF(D9&gt;=4,0.5,0.0))))))))</f>
        <v/>
      </c>
      <c r="H9" s="6">
        <f>IF(E9="CÓ", C9*D9, 0)</f>
        <v/>
      </c>
    </row>
    <row r="10" ht="22" customHeight="1">
      <c r="A10" s="6" t="n">
        <v>6</v>
      </c>
      <c r="B10" s="7" t="inlineStr">
        <is>
          <t>Giáo dục thể chất 1</t>
        </is>
      </c>
      <c r="C10" s="6" t="n">
        <v>2</v>
      </c>
      <c r="D10" s="6" t="n">
        <v>9</v>
      </c>
      <c r="E10" s="6" t="inlineStr">
        <is>
          <t>KHÔNG</t>
        </is>
      </c>
      <c r="F10" s="6">
        <f>IF(D10&gt;=9,"A+",IF(D10&gt;=8.5,"A",IF(D10&gt;=8,"B+",IF(D10&gt;=7,"B",IF(D10&gt;=6.5,"C+",IF(D10&gt;=5.5,"C",IF(D10&gt;=5,"D+",IF(D10&gt;=4,"D","F"))))))))</f>
        <v/>
      </c>
      <c r="G10" s="6">
        <f>IF(D10&gt;=9,4.0,IF(D10&gt;=8.5,3.5,IF(D10&gt;=8,3.0,IF(D10&gt;=7,2.5,IF(D10&gt;=6.5,2.0,IF(D10&gt;=5.5,1.5,IF(D10&gt;=5,1.0,IF(D10&gt;=4,0.5,0.0))))))))</f>
        <v/>
      </c>
      <c r="H10" s="6">
        <f>IF(E10="CÓ", C10*D10, 0)</f>
        <v/>
      </c>
    </row>
    <row r="11" ht="22" customHeight="1">
      <c r="A11" s="4" t="n">
        <v>7</v>
      </c>
      <c r="B11" s="5" t="inlineStr">
        <is>
          <t>Vật lý đại cương 1</t>
        </is>
      </c>
      <c r="C11" s="4" t="n">
        <v>3</v>
      </c>
      <c r="D11" s="4" t="n">
        <v>7.5</v>
      </c>
      <c r="E11" s="4" t="inlineStr">
        <is>
          <t>CÓ</t>
        </is>
      </c>
      <c r="F11" s="4">
        <f>IF(D11&gt;=9,"A+",IF(D11&gt;=8.5,"A",IF(D11&gt;=8,"B+",IF(D11&gt;=7,"B",IF(D11&gt;=6.5,"C+",IF(D11&gt;=5.5,"C",IF(D11&gt;=5,"D+",IF(D11&gt;=4,"D","F"))))))))</f>
        <v/>
      </c>
      <c r="G11" s="4">
        <f>IF(D11&gt;=9,4.0,IF(D11&gt;=8.5,3.5,IF(D11&gt;=8,3.0,IF(D11&gt;=7,2.5,IF(D11&gt;=6.5,2.0,IF(D11&gt;=5.5,1.5,IF(D11&gt;=5,1.0,IF(D11&gt;=4,0.5,0.0))))))))</f>
        <v/>
      </c>
      <c r="H11" s="4">
        <f>IF(E11="CÓ", C11*D11, 0)</f>
        <v/>
      </c>
    </row>
    <row r="12" ht="22" customHeight="1">
      <c r="A12" s="4" t="n">
        <v>8</v>
      </c>
      <c r="B12" s="5" t="inlineStr">
        <is>
          <t>Môn tự chọn 1</t>
        </is>
      </c>
      <c r="C12" s="4" t="n">
        <v>2</v>
      </c>
      <c r="D12" s="4" t="n">
        <v>8</v>
      </c>
      <c r="E12" s="4" t="inlineStr">
        <is>
          <t>CÓ</t>
        </is>
      </c>
      <c r="F12" s="4">
        <f>IF(D12&gt;=9,"A+",IF(D12&gt;=8.5,"A",IF(D12&gt;=8,"B+",IF(D12&gt;=7,"B",IF(D12&gt;=6.5,"C+",IF(D12&gt;=5.5,"C",IF(D12&gt;=5,"D+",IF(D12&gt;=4,"D","F"))))))))</f>
        <v/>
      </c>
      <c r="G12" s="4">
        <f>IF(D12&gt;=9,4.0,IF(D12&gt;=8.5,3.5,IF(D12&gt;=8,3.0,IF(D12&gt;=7,2.5,IF(D12&gt;=6.5,2.0,IF(D12&gt;=5.5,1.5,IF(D12&gt;=5,1.0,IF(D12&gt;=4,0.5,0.0))))))))</f>
        <v/>
      </c>
      <c r="H12" s="4">
        <f>IF(E12="CÓ", C12*D12, 0)</f>
        <v/>
      </c>
    </row>
    <row r="14" ht="25" customHeight="1">
      <c r="A14" s="8" t="inlineStr">
        <is>
          <t>TỔNG SỐ TÍN CHỈ TÍNH GPA:</t>
        </is>
      </c>
      <c r="B14" s="9" t="n"/>
      <c r="C14" s="9" t="n"/>
      <c r="D14" s="9" t="n"/>
      <c r="E14" s="9" t="n"/>
      <c r="F14" s="10">
        <f>SUMIF(E5:E12, "CÓ", C5:C12)</f>
        <v/>
      </c>
      <c r="G14" s="9" t="n"/>
      <c r="H14" s="9" t="n"/>
    </row>
    <row r="15" ht="25" customHeight="1">
      <c r="A15" s="11" t="inlineStr">
        <is>
          <t>ĐIỂM TRUNG BÌNH HỌC KỲ (THANG 10):</t>
        </is>
      </c>
      <c r="B15" s="9" t="n"/>
      <c r="C15" s="9" t="n"/>
      <c r="D15" s="9" t="n"/>
      <c r="E15" s="9" t="n"/>
      <c r="F15" s="12">
        <f>ROUND(SUM(H5:H12)/F14, 2)</f>
        <v/>
      </c>
      <c r="G15" s="9" t="n"/>
      <c r="H15" s="9" t="n"/>
    </row>
    <row r="16" ht="25" customHeight="1">
      <c r="A16" s="11" t="inlineStr">
        <is>
          <t>ĐIỂM TRUNG BÌNH HỌC KỲ (THANG 4.0):</t>
        </is>
      </c>
      <c r="B16" s="9" t="n"/>
      <c r="C16" s="9" t="n"/>
      <c r="D16" s="9" t="n"/>
      <c r="E16" s="9" t="n"/>
      <c r="F16" s="12">
        <f>ROUND(SUMPRODUCT((E5:E12="CÓ")*C5:C12*G5:G12)/F14, 2)</f>
        <v/>
      </c>
      <c r="G16" s="9" t="n"/>
      <c r="H16" s="9" t="n"/>
    </row>
    <row r="17" ht="25" customHeight="1">
      <c r="A17" s="8" t="inlineStr">
        <is>
          <t>XẾP LOẠI HỌC LỰC HỌC KỲ (K2021+):</t>
        </is>
      </c>
      <c r="B17" s="9" t="n"/>
      <c r="C17" s="9" t="n"/>
      <c r="D17" s="9" t="n"/>
      <c r="E17" s="9" t="n"/>
      <c r="F17" s="10">
        <f>IF(F15&gt;=9,"XUẤT SẮC",IF(F15&gt;=8,"GIỎI",IF(F15&gt;=7,"KHÁ",IF(F15&gt;=5,"TRUNG BÌNH",IF(F15&gt;=4,"YẾU","KÉM")))))</f>
        <v/>
      </c>
      <c r="G17" s="9" t="n"/>
      <c r="H17" s="9" t="n"/>
    </row>
    <row r="18" ht="25" customHeight="1">
      <c r="A18" s="8" t="inlineStr">
        <is>
          <t>TÌNH TRẠNG HỌC VỤ:</t>
        </is>
      </c>
      <c r="B18" s="9" t="n"/>
      <c r="C18" s="9" t="n"/>
      <c r="D18" s="9" t="n"/>
      <c r="E18" s="9" t="n"/>
      <c r="F18" s="13">
        <f>IF(OR(F14&lt;7, F15&lt;3.0), "⚠ NGUY CƠ CẢNH BÁO HỌC VỤ", "✓ AN TOÀN")</f>
        <v/>
      </c>
      <c r="G18" s="9" t="n"/>
      <c r="H18" s="9" t="n"/>
    </row>
  </sheetData>
  <mergeCells count="7">
    <mergeCell ref="A1:H1"/>
    <mergeCell ref="A16:E16"/>
    <mergeCell ref="A15:E15"/>
    <mergeCell ref="A2:H2"/>
    <mergeCell ref="A14:E14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6" customWidth="1" min="3" max="3"/>
    <col width="36" customWidth="1" min="4" max="4"/>
    <col width="30" customWidth="1" min="5" max="5"/>
  </cols>
  <sheetData>
    <row r="1" ht="30" customHeight="1">
      <c r="A1" s="1" t="inlineStr">
        <is>
          <t>CÔNG CỤ MÔ PHỎNG WHAT-IF NÂNG ĐIỂM TRUNG BÌNH TÍCH LŨY (CGPA)</t>
        </is>
      </c>
    </row>
    <row r="3">
      <c r="A3" s="14" t="inlineStr">
        <is>
          <t>Thông số hiện tại</t>
        </is>
      </c>
      <c r="D3" s="15" t="inlineStr">
        <is>
          <t>Kết quả Mô phỏng</t>
        </is>
      </c>
    </row>
    <row r="4" ht="24" customHeight="1">
      <c r="A4" s="16" t="inlineStr">
        <is>
          <t>CGPA hiện tại (Thang 4.0):</t>
        </is>
      </c>
      <c r="B4" s="17" t="n">
        <v>3.15</v>
      </c>
      <c r="D4" s="16" t="inlineStr">
        <is>
          <t>GPA kỳ tới CẦN ĐẠT (Thang 4.0):</t>
        </is>
      </c>
      <c r="E4" s="18">
        <f>ROUND((B7*(B5+B6) - B4*B5)/B6, 2)</f>
        <v/>
      </c>
    </row>
    <row r="5" ht="24" customHeight="1">
      <c r="A5" s="16" t="inlineStr">
        <is>
          <t>Tổng số TC tích lũy hiện tại:</t>
        </is>
      </c>
      <c r="B5" s="17" t="n">
        <v>65</v>
      </c>
      <c r="D5" s="16" t="inlineStr">
        <is>
          <t>GPA kỳ tới CẦN ĐẠT (Thang 10 quy đổi):</t>
        </is>
      </c>
      <c r="E5" s="17">
        <f>ROUND(E4*2.5, 2)</f>
        <v/>
      </c>
    </row>
    <row r="6" ht="24" customHeight="1">
      <c r="A6" s="16" t="inlineStr">
        <is>
          <t>Số TC đăng ký học kỳ tới:</t>
        </is>
      </c>
      <c r="B6" s="17" t="n">
        <v>18</v>
      </c>
      <c r="D6" s="16" t="inlineStr">
        <is>
          <t>Đánh giá tính khả thi:</t>
        </is>
      </c>
      <c r="E6" s="17">
        <f>IF(E4&gt;4.0, "❌ KHÔNG KHẢ THI TRONG 1 KỲ (Cần &gt; 4.0)", IF(E4&gt;=3.6, "🔥 CẦN NỖ LỰC RẤT LỚN (Mức Xuất sắc)", "✓ HOÀN TOÀN KHẢ THI"))</f>
        <v/>
      </c>
    </row>
    <row r="7" ht="24" customHeight="1">
      <c r="A7" s="16" t="inlineStr">
        <is>
          <t>Mục tiêu CGPA muốn đạt sau kỳ tới:</t>
        </is>
      </c>
      <c r="B7" s="17" t="n">
        <v>3.25</v>
      </c>
      <c r="D7" s="16" t="n"/>
      <c r="E7" s="19" t="n"/>
    </row>
  </sheetData>
  <mergeCells count="3">
    <mergeCell ref="D3:E3"/>
    <mergeCell ref="A3:B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2026-09-17T15:29:13Z</dcterms:created>
  <dcterms:modified xmlns:dcterms="http://purl.org/dc/terms/" xmlns:xsi="http://www.w3.org/2001/XMLSchema-instance" xsi:type="dcterms:W3CDTF">2026-09-17T15:29:13Z</dcterms:modified>
</cp:coreProperties>
</file>